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<sst xmlns="http://schemas.openxmlformats.org/spreadsheetml/2006/main" count="392" uniqueCount="54">
  <si>
    <t>Data do Post</t>
  </si>
  <si>
    <t>Plataforma</t>
  </si>
  <si>
    <t>Tipo de Conteúdo</t>
  </si>
  <si>
    <t>Tema do Post</t>
  </si>
  <si>
    <t>Link do Post</t>
  </si>
  <si>
    <t>Impressões/Interações</t>
  </si>
  <si>
    <t>Alcance (visualizações)</t>
  </si>
  <si>
    <t>Curtidas/Reações</t>
  </si>
  <si>
    <t>Comentários</t>
  </si>
  <si>
    <t>Compartilhamentos</t>
  </si>
  <si>
    <t>Cliques no Link</t>
  </si>
  <si>
    <t>Salvamentos (Instagram)</t>
  </si>
  <si>
    <t>Cliques no Perfil</t>
  </si>
  <si>
    <t>Tempo Médio de Visualização (seg)</t>
  </si>
  <si>
    <t>Duração do Vídeo (seg)</t>
  </si>
  <si>
    <t>Novos Seguidores</t>
  </si>
  <si>
    <t>Post Turbinado? (Instagram)</t>
  </si>
  <si>
    <t>Público-alvo</t>
  </si>
  <si>
    <t>Eficiência</t>
  </si>
  <si>
    <t>link</t>
  </si>
  <si>
    <t>instagram</t>
  </si>
  <si>
    <t>posts</t>
  </si>
  <si>
    <t>processo seletivo alunos</t>
  </si>
  <si>
    <t>xxxxxxxxx</t>
  </si>
  <si>
    <t>NÃO</t>
  </si>
  <si>
    <t>alunos</t>
  </si>
  <si>
    <t>https://drive.google.com/file/d/1LcrUxzbReU2XE65dRHZ1D8pDHLaej4o5/view?usp=sharing</t>
  </si>
  <si>
    <t>processo seletivo membros</t>
  </si>
  <si>
    <t>insper</t>
  </si>
  <si>
    <t>https://drive.google.com/file/d/14z8cDqLhxqpnZMGk0-TvZIGeQkxdvvwS/view?usp=sharing</t>
  </si>
  <si>
    <t>apresentação de áreas</t>
  </si>
  <si>
    <t>reels</t>
  </si>
  <si>
    <t>sábado letivo</t>
  </si>
  <si>
    <t>insper/alunos</t>
  </si>
  <si>
    <t>depoimento</t>
  </si>
  <si>
    <t>tutoria</t>
  </si>
  <si>
    <t>aula inaugural</t>
  </si>
  <si>
    <t>rifa</t>
  </si>
  <si>
    <t>equipe</t>
  </si>
  <si>
    <t>gestão</t>
  </si>
  <si>
    <t>professor</t>
  </si>
  <si>
    <t>aluno</t>
  </si>
  <si>
    <t>visita</t>
  </si>
  <si>
    <t>eventos</t>
  </si>
  <si>
    <t>informativo</t>
  </si>
  <si>
    <t>SIM</t>
  </si>
  <si>
    <t>recomendações</t>
  </si>
  <si>
    <t>processo seletivo professor</t>
  </si>
  <si>
    <t xml:space="preserve">  </t>
  </si>
  <si>
    <t>vlog</t>
  </si>
  <si>
    <t>insper/professor</t>
  </si>
  <si>
    <t>visual</t>
  </si>
  <si>
    <t>insper/alunos/professor</t>
  </si>
  <si>
    <t>ativação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</si>
</sst>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aeefb"/>
      </patternFill>
    </fill>
    <fill>
      <patternFill patternType="solid">
        <fgColor rgb="FF0f9ed5"/>
      </patternFill>
    </fill>
    <fill>
      <patternFill patternType="solid">
        <fgColor rgb="FFffff00"/>
      </patternFill>
    </fill>
    <fill>
      <patternFill patternType="solid">
        <fgColor rgb="FF4e95d9"/>
      </patternFill>
    </fill>
    <fill>
      <patternFill patternType="solid">
        <fgColor rgb="FFc04f1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9">
    <xf xfId="0" numFmtId="0" borderId="0" fontId="0" fillId="0"/>
    <xf xfId="0" numFmtId="1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2" applyBorder="1" fontId="1" applyFont="1" fillId="2" applyFill="1" applyAlignment="1">
      <alignment horizontal="center"/>
    </xf>
    <xf xfId="0" numFmtId="3" applyNumberFormat="1" borderId="2" applyBorder="1" fontId="1" applyFont="1" fillId="2" applyFill="1" applyAlignment="1">
      <alignment horizontal="center"/>
    </xf>
    <xf xfId="0" numFmtId="16" applyNumberFormat="1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16" applyNumberFormat="1" borderId="4" applyBorder="1" fontId="2" applyFont="1" fillId="3" applyFill="1" applyAlignment="1">
      <alignment horizontal="left"/>
    </xf>
    <xf xfId="0" numFmtId="0" borderId="4" applyBorder="1" fontId="2" applyFont="1" fillId="3" applyFill="1" applyAlignment="1">
      <alignment horizontal="left"/>
    </xf>
    <xf xfId="0" numFmtId="3" applyNumberFormat="1" borderId="4" applyBorder="1" fontId="2" applyFont="1" fillId="3" applyFill="1" applyAlignment="1">
      <alignment horizontal="right"/>
    </xf>
    <xf xfId="0" numFmtId="3" applyNumberFormat="1" borderId="4" applyBorder="1" fontId="2" applyFont="1" fillId="3" applyFill="1" applyAlignment="1">
      <alignment horizontal="left"/>
    </xf>
    <xf xfId="0" numFmtId="16" applyNumberFormat="1" borderId="4" applyBorder="1" fontId="2" applyFont="1" fillId="4" applyFill="1" applyAlignment="1">
      <alignment horizontal="left"/>
    </xf>
    <xf xfId="0" numFmtId="0" borderId="4" applyBorder="1" fontId="2" applyFont="1" fillId="4" applyFill="1" applyAlignment="1">
      <alignment horizontal="left"/>
    </xf>
    <xf xfId="0" numFmtId="3" applyNumberFormat="1" borderId="4" applyBorder="1" fontId="2" applyFont="1" fillId="4" applyFill="1" applyAlignment="1">
      <alignment horizontal="left"/>
    </xf>
    <xf xfId="0" numFmtId="16" applyNumberFormat="1" borderId="4" applyBorder="1" fontId="2" applyFont="1" fillId="5" applyFill="1" applyAlignment="1">
      <alignment horizontal="left"/>
    </xf>
    <xf xfId="0" numFmtId="0" borderId="4" applyBorder="1" fontId="2" applyFont="1" fillId="5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3" applyNumberFormat="1" borderId="4" applyBorder="1" fontId="2" applyFont="1" fillId="5" applyFill="1" applyAlignment="1">
      <alignment horizontal="left"/>
    </xf>
    <xf xfId="0" numFmtId="16" applyNumberFormat="1" borderId="4" applyBorder="1" fontId="2" applyFont="1" fillId="6" applyFill="1" applyAlignment="1">
      <alignment horizontal="left"/>
    </xf>
    <xf xfId="0" numFmtId="0" borderId="4" applyBorder="1" fontId="2" applyFont="1" fillId="6" applyFill="1" applyAlignment="1">
      <alignment horizontal="left"/>
    </xf>
    <xf xfId="0" numFmtId="3" applyNumberFormat="1" borderId="4" applyBorder="1" fontId="2" applyFont="1" fillId="6" applyFill="1" applyAlignment="1">
      <alignment horizontal="right"/>
    </xf>
    <xf xfId="0" numFmtId="1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54"/>
  <sheetViews>
    <sheetView workbookViewId="0" tabSelected="1"/>
  </sheetViews>
  <sheetFormatPr defaultRowHeight="15" x14ac:dyDescent="0.25"/>
  <cols>
    <col min="1" max="1" style="25" width="13.576428571428572" customWidth="1" bestFit="1"/>
    <col min="2" max="2" style="26" width="13.576428571428572" customWidth="1" bestFit="1"/>
    <col min="3" max="3" style="26" width="13.576428571428572" customWidth="1" bestFit="1"/>
    <col min="4" max="4" style="26" width="13.576428571428572" customWidth="1" bestFit="1"/>
    <col min="5" max="5" style="26" width="13.576428571428572" customWidth="1" bestFit="1"/>
    <col min="6" max="6" style="27" width="13.576428571428572" customWidth="1" bestFit="1"/>
    <col min="7" max="7" style="27" width="13.576428571428572" customWidth="1" bestFit="1"/>
    <col min="8" max="8" style="27" width="13.576428571428572" customWidth="1" bestFit="1"/>
    <col min="9" max="9" style="27" width="13.576428571428572" customWidth="1" bestFit="1"/>
    <col min="10" max="10" style="27" width="13.576428571428572" customWidth="1" bestFit="1"/>
    <col min="11" max="11" style="27" width="13.576428571428572" customWidth="1" bestFit="1"/>
    <col min="12" max="12" style="27" width="13.576428571428572" customWidth="1" bestFit="1"/>
    <col min="13" max="13" style="27" width="13.576428571428572" customWidth="1" bestFit="1"/>
    <col min="14" max="14" style="28" width="13.576428571428572" customWidth="1" bestFit="1"/>
    <col min="15" max="15" style="28" width="13.576428571428572" customWidth="1" bestFit="1"/>
    <col min="16" max="16" style="27" width="13.576428571428572" customWidth="1" bestFit="1"/>
    <col min="17" max="17" style="26" width="13.576428571428572" customWidth="1" bestFit="1"/>
    <col min="18" max="18" style="26" width="13.576428571428572" customWidth="1" bestFit="1"/>
    <col min="19" max="19" style="27" width="13.576428571428572" customWidth="1" bestFit="1"/>
    <col min="20" max="20" style="26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5" t="s">
        <v>18</v>
      </c>
      <c r="T1" s="4" t="s">
        <v>19</v>
      </c>
    </row>
    <row x14ac:dyDescent="0.25" r="2" customHeight="1" ht="19.5">
      <c r="A2" s="6">
        <v>45664</v>
      </c>
      <c r="B2" s="7" t="s">
        <v>20</v>
      </c>
      <c r="C2" s="7" t="s">
        <v>21</v>
      </c>
      <c r="D2" s="7" t="s">
        <v>22</v>
      </c>
      <c r="E2" s="7" t="s">
        <v>23</v>
      </c>
      <c r="F2" s="8">
        <v>258</v>
      </c>
      <c r="G2" s="8">
        <v>5422</v>
      </c>
      <c r="H2" s="8">
        <v>182</v>
      </c>
      <c r="I2" s="8">
        <v>2</v>
      </c>
      <c r="J2" s="8">
        <v>44</v>
      </c>
      <c r="K2" s="8">
        <v>118</v>
      </c>
      <c r="L2" s="8">
        <v>30</v>
      </c>
      <c r="M2" s="8">
        <v>208</v>
      </c>
      <c r="N2" s="9"/>
      <c r="O2" s="9"/>
      <c r="P2" s="8">
        <v>9</v>
      </c>
      <c r="Q2" s="7" t="s">
        <v>24</v>
      </c>
      <c r="R2" s="7" t="s">
        <v>25</v>
      </c>
      <c r="S2" s="10">
        <f>F2/G2</f>
      </c>
      <c r="T2" s="7" t="s">
        <v>26</v>
      </c>
    </row>
    <row x14ac:dyDescent="0.25" r="3" customHeight="1" ht="19.5">
      <c r="A3" s="6">
        <v>45687</v>
      </c>
      <c r="B3" s="7" t="s">
        <v>20</v>
      </c>
      <c r="C3" s="7" t="s">
        <v>21</v>
      </c>
      <c r="D3" s="7" t="s">
        <v>27</v>
      </c>
      <c r="E3" s="7" t="s">
        <v>23</v>
      </c>
      <c r="F3" s="8">
        <v>145</v>
      </c>
      <c r="G3" s="8">
        <v>7910</v>
      </c>
      <c r="H3" s="8">
        <v>112</v>
      </c>
      <c r="I3" s="8">
        <v>17</v>
      </c>
      <c r="J3" s="8">
        <v>11</v>
      </c>
      <c r="K3" s="8">
        <v>15</v>
      </c>
      <c r="L3" s="8">
        <v>5</v>
      </c>
      <c r="M3" s="8">
        <v>64</v>
      </c>
      <c r="N3" s="9"/>
      <c r="O3" s="9"/>
      <c r="P3" s="8">
        <v>4</v>
      </c>
      <c r="Q3" s="7" t="s">
        <v>24</v>
      </c>
      <c r="R3" s="7" t="s">
        <v>28</v>
      </c>
      <c r="S3" s="10">
        <f>F3/G3</f>
      </c>
      <c r="T3" s="7" t="s">
        <v>29</v>
      </c>
    </row>
    <row x14ac:dyDescent="0.25" r="4" customHeight="1" ht="19.5">
      <c r="A4" s="6">
        <v>45692</v>
      </c>
      <c r="B4" s="7" t="s">
        <v>20</v>
      </c>
      <c r="C4" s="7" t="s">
        <v>21</v>
      </c>
      <c r="D4" s="7" t="s">
        <v>30</v>
      </c>
      <c r="E4" s="7" t="s">
        <v>23</v>
      </c>
      <c r="F4" s="8">
        <v>59</v>
      </c>
      <c r="G4" s="8">
        <v>4920</v>
      </c>
      <c r="H4" s="8">
        <v>47</v>
      </c>
      <c r="I4" s="8">
        <v>7</v>
      </c>
      <c r="J4" s="8">
        <v>2</v>
      </c>
      <c r="K4" s="8">
        <v>4</v>
      </c>
      <c r="L4" s="8">
        <v>3</v>
      </c>
      <c r="M4" s="8">
        <v>22</v>
      </c>
      <c r="N4" s="9"/>
      <c r="O4" s="9"/>
      <c r="P4" s="8">
        <v>0</v>
      </c>
      <c r="Q4" s="7" t="s">
        <v>24</v>
      </c>
      <c r="R4" s="7" t="s">
        <v>28</v>
      </c>
      <c r="S4" s="10">
        <f>F4/G4</f>
      </c>
      <c r="T4" s="7" t="s">
        <v>29</v>
      </c>
    </row>
    <row x14ac:dyDescent="0.25" r="5" customHeight="1" ht="19.5">
      <c r="A5" s="6">
        <v>45699</v>
      </c>
      <c r="B5" s="7" t="s">
        <v>20</v>
      </c>
      <c r="C5" s="7" t="s">
        <v>21</v>
      </c>
      <c r="D5" s="7" t="s">
        <v>27</v>
      </c>
      <c r="E5" s="7" t="s">
        <v>23</v>
      </c>
      <c r="F5" s="8">
        <v>84</v>
      </c>
      <c r="G5" s="8">
        <v>4891</v>
      </c>
      <c r="H5" s="8">
        <v>66</v>
      </c>
      <c r="I5" s="8">
        <v>7</v>
      </c>
      <c r="J5" s="8">
        <v>8</v>
      </c>
      <c r="K5" s="8">
        <v>4</v>
      </c>
      <c r="L5" s="8">
        <v>3</v>
      </c>
      <c r="M5" s="8">
        <v>47</v>
      </c>
      <c r="N5" s="9"/>
      <c r="O5" s="9"/>
      <c r="P5" s="8">
        <v>1</v>
      </c>
      <c r="Q5" s="7" t="s">
        <v>24</v>
      </c>
      <c r="R5" s="7" t="s">
        <v>28</v>
      </c>
      <c r="S5" s="10">
        <f>F5/G5</f>
      </c>
      <c r="T5" s="7" t="s">
        <v>29</v>
      </c>
    </row>
    <row x14ac:dyDescent="0.25" r="6" customHeight="1" ht="19.5">
      <c r="A6" s="6">
        <v>45701</v>
      </c>
      <c r="B6" s="7" t="s">
        <v>20</v>
      </c>
      <c r="C6" s="7" t="s">
        <v>31</v>
      </c>
      <c r="D6" s="7" t="s">
        <v>32</v>
      </c>
      <c r="E6" s="7" t="s">
        <v>23</v>
      </c>
      <c r="F6" s="8">
        <v>98</v>
      </c>
      <c r="G6" s="8">
        <v>2870</v>
      </c>
      <c r="H6" s="8">
        <v>80</v>
      </c>
      <c r="I6" s="8">
        <v>11</v>
      </c>
      <c r="J6" s="8">
        <v>7</v>
      </c>
      <c r="K6" s="8">
        <v>0</v>
      </c>
      <c r="L6" s="8">
        <v>0</v>
      </c>
      <c r="M6" s="8">
        <v>0</v>
      </c>
      <c r="N6" s="8">
        <v>7</v>
      </c>
      <c r="O6" s="8">
        <v>40</v>
      </c>
      <c r="P6" s="8">
        <v>0</v>
      </c>
      <c r="Q6" s="7" t="s">
        <v>24</v>
      </c>
      <c r="R6" s="7" t="s">
        <v>33</v>
      </c>
      <c r="S6" s="10">
        <f>F6/G6</f>
      </c>
      <c r="T6" s="7" t="s">
        <v>29</v>
      </c>
    </row>
    <row x14ac:dyDescent="0.25" r="7" customHeight="1" ht="19.5">
      <c r="A7" s="6">
        <v>45713</v>
      </c>
      <c r="B7" s="7" t="s">
        <v>20</v>
      </c>
      <c r="C7" s="7" t="s">
        <v>21</v>
      </c>
      <c r="D7" s="7" t="s">
        <v>34</v>
      </c>
      <c r="E7" s="7" t="s">
        <v>23</v>
      </c>
      <c r="F7" s="8">
        <v>213</v>
      </c>
      <c r="G7" s="8">
        <v>5632</v>
      </c>
      <c r="H7" s="8">
        <v>169</v>
      </c>
      <c r="I7" s="8">
        <v>14</v>
      </c>
      <c r="J7" s="8">
        <v>26</v>
      </c>
      <c r="K7" s="8">
        <v>14</v>
      </c>
      <c r="L7" s="8">
        <v>4</v>
      </c>
      <c r="M7" s="8">
        <v>98</v>
      </c>
      <c r="N7" s="9"/>
      <c r="O7" s="9"/>
      <c r="P7" s="8">
        <v>1</v>
      </c>
      <c r="Q7" s="7" t="s">
        <v>24</v>
      </c>
      <c r="R7" s="7" t="s">
        <v>33</v>
      </c>
      <c r="S7" s="10">
        <f>F7/G7</f>
      </c>
      <c r="T7" s="7" t="s">
        <v>29</v>
      </c>
    </row>
    <row x14ac:dyDescent="0.25" r="8" customHeight="1" ht="19.5">
      <c r="A8" s="6">
        <v>45722</v>
      </c>
      <c r="B8" s="7" t="s">
        <v>20</v>
      </c>
      <c r="C8" s="7" t="s">
        <v>21</v>
      </c>
      <c r="D8" s="7" t="s">
        <v>35</v>
      </c>
      <c r="E8" s="7" t="s">
        <v>23</v>
      </c>
      <c r="F8" s="8">
        <v>81</v>
      </c>
      <c r="G8" s="8">
        <v>5298</v>
      </c>
      <c r="H8" s="8">
        <v>60</v>
      </c>
      <c r="I8" s="8">
        <v>5</v>
      </c>
      <c r="J8" s="8">
        <v>13</v>
      </c>
      <c r="K8" s="8">
        <v>20</v>
      </c>
      <c r="L8" s="8">
        <v>3</v>
      </c>
      <c r="M8" s="8">
        <v>59</v>
      </c>
      <c r="N8" s="9"/>
      <c r="O8" s="9"/>
      <c r="P8" s="8">
        <v>2</v>
      </c>
      <c r="Q8" s="7" t="s">
        <v>24</v>
      </c>
      <c r="R8" s="7" t="s">
        <v>28</v>
      </c>
      <c r="S8" s="10">
        <f>F8/G8</f>
      </c>
      <c r="T8" s="7" t="s">
        <v>29</v>
      </c>
    </row>
    <row x14ac:dyDescent="0.25" r="9" customHeight="1" ht="19.5">
      <c r="A9" s="6">
        <v>45725</v>
      </c>
      <c r="B9" s="7" t="s">
        <v>20</v>
      </c>
      <c r="C9" s="7" t="s">
        <v>31</v>
      </c>
      <c r="D9" s="7" t="s">
        <v>36</v>
      </c>
      <c r="E9" s="7" t="s">
        <v>23</v>
      </c>
      <c r="F9" s="8">
        <v>395</v>
      </c>
      <c r="G9" s="8">
        <v>60408</v>
      </c>
      <c r="H9" s="8">
        <v>351</v>
      </c>
      <c r="I9" s="8">
        <v>21</v>
      </c>
      <c r="J9" s="8">
        <v>16</v>
      </c>
      <c r="K9" s="8">
        <v>0</v>
      </c>
      <c r="L9" s="8">
        <v>7</v>
      </c>
      <c r="M9" s="8">
        <v>9</v>
      </c>
      <c r="N9" s="8">
        <v>3</v>
      </c>
      <c r="O9" s="8">
        <v>47</v>
      </c>
      <c r="P9" s="8">
        <v>9</v>
      </c>
      <c r="Q9" s="7" t="s">
        <v>24</v>
      </c>
      <c r="R9" s="7" t="s">
        <v>33</v>
      </c>
      <c r="S9" s="10">
        <f>F9/G9</f>
      </c>
      <c r="T9" s="7" t="s">
        <v>29</v>
      </c>
    </row>
    <row x14ac:dyDescent="0.25" r="10" customHeight="1" ht="19.5">
      <c r="A10" s="6">
        <v>45727</v>
      </c>
      <c r="B10" s="7" t="s">
        <v>20</v>
      </c>
      <c r="C10" s="7" t="s">
        <v>21</v>
      </c>
      <c r="D10" s="7" t="s">
        <v>34</v>
      </c>
      <c r="E10" s="7" t="s">
        <v>23</v>
      </c>
      <c r="F10" s="8">
        <v>90</v>
      </c>
      <c r="G10" s="8">
        <v>2811</v>
      </c>
      <c r="H10" s="8">
        <v>86</v>
      </c>
      <c r="I10" s="8">
        <v>1</v>
      </c>
      <c r="J10" s="8">
        <v>0</v>
      </c>
      <c r="K10" s="8">
        <v>3</v>
      </c>
      <c r="L10" s="8">
        <v>3</v>
      </c>
      <c r="M10" s="8">
        <v>39</v>
      </c>
      <c r="N10" s="9"/>
      <c r="O10" s="9"/>
      <c r="P10" s="8">
        <v>0</v>
      </c>
      <c r="Q10" s="7" t="s">
        <v>24</v>
      </c>
      <c r="R10" s="7" t="s">
        <v>33</v>
      </c>
      <c r="S10" s="10">
        <f>F10/G10</f>
      </c>
      <c r="T10" s="7" t="s">
        <v>29</v>
      </c>
    </row>
    <row x14ac:dyDescent="0.25" r="11" customHeight="1" ht="19.5">
      <c r="A11" s="6">
        <v>45734</v>
      </c>
      <c r="B11" s="7" t="s">
        <v>20</v>
      </c>
      <c r="C11" s="7" t="s">
        <v>21</v>
      </c>
      <c r="D11" s="7" t="s">
        <v>37</v>
      </c>
      <c r="E11" s="7" t="s">
        <v>23</v>
      </c>
      <c r="F11" s="8">
        <v>64</v>
      </c>
      <c r="G11" s="8">
        <v>5528</v>
      </c>
      <c r="H11" s="8">
        <v>50</v>
      </c>
      <c r="I11" s="8">
        <v>6</v>
      </c>
      <c r="J11" s="8">
        <v>8</v>
      </c>
      <c r="K11" s="8">
        <v>3</v>
      </c>
      <c r="L11" s="8">
        <v>0</v>
      </c>
      <c r="M11" s="8">
        <v>31</v>
      </c>
      <c r="N11" s="9"/>
      <c r="O11" s="9"/>
      <c r="P11" s="8">
        <v>0</v>
      </c>
      <c r="Q11" s="7" t="s">
        <v>24</v>
      </c>
      <c r="R11" s="7" t="s">
        <v>28</v>
      </c>
      <c r="S11" s="10">
        <f>F11/G11</f>
      </c>
      <c r="T11" s="7" t="s">
        <v>29</v>
      </c>
    </row>
    <row x14ac:dyDescent="0.25" r="12" customHeight="1" ht="19.5">
      <c r="A12" s="6">
        <v>45737</v>
      </c>
      <c r="B12" s="7" t="s">
        <v>20</v>
      </c>
      <c r="C12" s="7" t="s">
        <v>21</v>
      </c>
      <c r="D12" s="7" t="s">
        <v>38</v>
      </c>
      <c r="E12" s="7" t="s">
        <v>23</v>
      </c>
      <c r="F12" s="8">
        <v>183</v>
      </c>
      <c r="G12" s="8">
        <v>4047</v>
      </c>
      <c r="H12" s="8">
        <v>143</v>
      </c>
      <c r="I12" s="8">
        <v>11</v>
      </c>
      <c r="J12" s="8">
        <v>27</v>
      </c>
      <c r="K12" s="8">
        <v>6</v>
      </c>
      <c r="L12" s="8">
        <v>2</v>
      </c>
      <c r="M12" s="8">
        <v>64</v>
      </c>
      <c r="N12" s="9"/>
      <c r="O12" s="9"/>
      <c r="P12" s="8">
        <v>1</v>
      </c>
      <c r="Q12" s="7" t="s">
        <v>24</v>
      </c>
      <c r="R12" s="7" t="s">
        <v>33</v>
      </c>
      <c r="S12" s="10">
        <f>F12/G12</f>
      </c>
      <c r="T12" s="7" t="s">
        <v>29</v>
      </c>
    </row>
    <row x14ac:dyDescent="0.25" r="13" customHeight="1" ht="19.5">
      <c r="A13" s="6">
        <v>45741</v>
      </c>
      <c r="B13" s="7" t="s">
        <v>20</v>
      </c>
      <c r="C13" s="7" t="s">
        <v>21</v>
      </c>
      <c r="D13" s="7" t="s">
        <v>39</v>
      </c>
      <c r="E13" s="7" t="s">
        <v>23</v>
      </c>
      <c r="F13" s="8">
        <v>86</v>
      </c>
      <c r="G13" s="8">
        <v>3499</v>
      </c>
      <c r="H13" s="8">
        <v>66</v>
      </c>
      <c r="I13" s="8">
        <v>8</v>
      </c>
      <c r="J13" s="8">
        <v>3</v>
      </c>
      <c r="K13" s="8">
        <v>4</v>
      </c>
      <c r="L13" s="8">
        <v>9</v>
      </c>
      <c r="M13" s="8">
        <v>29</v>
      </c>
      <c r="N13" s="9"/>
      <c r="O13" s="9"/>
      <c r="P13" s="8">
        <v>1</v>
      </c>
      <c r="Q13" s="7" t="s">
        <v>24</v>
      </c>
      <c r="R13" s="7" t="s">
        <v>28</v>
      </c>
      <c r="S13" s="10">
        <f>F13/G13</f>
      </c>
      <c r="T13" s="7" t="s">
        <v>29</v>
      </c>
    </row>
    <row x14ac:dyDescent="0.25" r="14" customHeight="1" ht="18.75">
      <c r="A14" s="6">
        <v>45744</v>
      </c>
      <c r="B14" s="7" t="s">
        <v>20</v>
      </c>
      <c r="C14" s="7" t="s">
        <v>21</v>
      </c>
      <c r="D14" s="7" t="s">
        <v>40</v>
      </c>
      <c r="E14" s="7" t="s">
        <v>23</v>
      </c>
      <c r="F14" s="8">
        <v>102</v>
      </c>
      <c r="G14" s="8">
        <v>6987</v>
      </c>
      <c r="H14" s="8">
        <v>80</v>
      </c>
      <c r="I14" s="8">
        <v>2</v>
      </c>
      <c r="J14" s="8">
        <v>6</v>
      </c>
      <c r="K14" s="8">
        <v>10</v>
      </c>
      <c r="L14" s="8">
        <v>14</v>
      </c>
      <c r="M14" s="8">
        <v>36</v>
      </c>
      <c r="N14" s="9"/>
      <c r="O14" s="9"/>
      <c r="P14" s="8">
        <v>1</v>
      </c>
      <c r="Q14" s="7" t="s">
        <v>24</v>
      </c>
      <c r="R14" s="7" t="s">
        <v>40</v>
      </c>
      <c r="S14" s="10">
        <f>F14/G14</f>
      </c>
      <c r="T14" s="7" t="s">
        <v>29</v>
      </c>
    </row>
    <row x14ac:dyDescent="0.25" r="15" customHeight="1" ht="18.75">
      <c r="A15" s="6">
        <v>45748</v>
      </c>
      <c r="B15" s="7" t="s">
        <v>20</v>
      </c>
      <c r="C15" s="7" t="s">
        <v>21</v>
      </c>
      <c r="D15" s="7" t="s">
        <v>41</v>
      </c>
      <c r="E15" s="7" t="s">
        <v>23</v>
      </c>
      <c r="F15" s="8">
        <v>153</v>
      </c>
      <c r="G15" s="8">
        <v>5383</v>
      </c>
      <c r="H15" s="8">
        <v>117</v>
      </c>
      <c r="I15" s="8">
        <v>3</v>
      </c>
      <c r="J15" s="8">
        <v>21</v>
      </c>
      <c r="K15" s="8">
        <v>23</v>
      </c>
      <c r="L15" s="8">
        <v>12</v>
      </c>
      <c r="M15" s="8">
        <v>66</v>
      </c>
      <c r="N15" s="9"/>
      <c r="O15" s="9"/>
      <c r="P15" s="8">
        <v>4</v>
      </c>
      <c r="Q15" s="7" t="s">
        <v>24</v>
      </c>
      <c r="R15" s="7" t="s">
        <v>25</v>
      </c>
      <c r="S15" s="10">
        <f>F15/G15</f>
      </c>
      <c r="T15" s="7" t="s">
        <v>29</v>
      </c>
    </row>
    <row x14ac:dyDescent="0.25" r="16" customHeight="1" ht="18.75">
      <c r="A16" s="6">
        <v>45755</v>
      </c>
      <c r="B16" s="7" t="s">
        <v>20</v>
      </c>
      <c r="C16" s="7" t="s">
        <v>21</v>
      </c>
      <c r="D16" s="7" t="s">
        <v>22</v>
      </c>
      <c r="E16" s="7" t="s">
        <v>23</v>
      </c>
      <c r="F16" s="8">
        <v>239</v>
      </c>
      <c r="G16" s="8">
        <v>8842</v>
      </c>
      <c r="H16" s="8">
        <v>142</v>
      </c>
      <c r="I16" s="8">
        <v>8</v>
      </c>
      <c r="J16" s="8">
        <v>68</v>
      </c>
      <c r="K16" s="8">
        <v>120</v>
      </c>
      <c r="L16" s="8">
        <v>21</v>
      </c>
      <c r="M16" s="8">
        <v>178</v>
      </c>
      <c r="N16" s="9"/>
      <c r="O16" s="9"/>
      <c r="P16" s="8">
        <v>14</v>
      </c>
      <c r="Q16" s="7" t="s">
        <v>24</v>
      </c>
      <c r="R16" s="7" t="s">
        <v>25</v>
      </c>
      <c r="S16" s="10">
        <f>F16/G16</f>
      </c>
      <c r="T16" s="7" t="s">
        <v>29</v>
      </c>
    </row>
    <row x14ac:dyDescent="0.25" r="17" customHeight="1" ht="18.75">
      <c r="A17" s="6">
        <v>45757</v>
      </c>
      <c r="B17" s="7" t="s">
        <v>20</v>
      </c>
      <c r="C17" s="7" t="s">
        <v>21</v>
      </c>
      <c r="D17" s="7" t="s">
        <v>42</v>
      </c>
      <c r="E17" s="7" t="s">
        <v>23</v>
      </c>
      <c r="F17" s="8">
        <v>80</v>
      </c>
      <c r="G17" s="8">
        <v>2704</v>
      </c>
      <c r="H17" s="8">
        <v>70</v>
      </c>
      <c r="I17" s="8">
        <v>8</v>
      </c>
      <c r="J17" s="8">
        <v>1</v>
      </c>
      <c r="K17" s="8">
        <v>0</v>
      </c>
      <c r="L17" s="8">
        <v>1</v>
      </c>
      <c r="M17" s="8">
        <v>13</v>
      </c>
      <c r="N17" s="9"/>
      <c r="O17" s="9"/>
      <c r="P17" s="8">
        <v>0</v>
      </c>
      <c r="Q17" s="7" t="s">
        <v>24</v>
      </c>
      <c r="R17" s="7" t="s">
        <v>33</v>
      </c>
      <c r="S17" s="10">
        <f>F17/G17</f>
      </c>
      <c r="T17" s="7" t="s">
        <v>29</v>
      </c>
    </row>
    <row x14ac:dyDescent="0.25" r="18" customHeight="1" ht="18.75">
      <c r="A18" s="6">
        <v>45760</v>
      </c>
      <c r="B18" s="7" t="s">
        <v>20</v>
      </c>
      <c r="C18" s="7" t="s">
        <v>31</v>
      </c>
      <c r="D18" s="7" t="s">
        <v>43</v>
      </c>
      <c r="E18" s="7" t="s">
        <v>23</v>
      </c>
      <c r="F18" s="8">
        <v>129</v>
      </c>
      <c r="G18" s="8">
        <v>2392</v>
      </c>
      <c r="H18" s="8">
        <v>101</v>
      </c>
      <c r="I18" s="8">
        <v>17</v>
      </c>
      <c r="J18" s="8">
        <v>5</v>
      </c>
      <c r="K18" s="8">
        <v>0</v>
      </c>
      <c r="L18" s="8">
        <v>6</v>
      </c>
      <c r="M18" s="8">
        <v>1</v>
      </c>
      <c r="N18" s="8">
        <v>12</v>
      </c>
      <c r="O18" s="8">
        <v>83</v>
      </c>
      <c r="P18" s="8">
        <v>1</v>
      </c>
      <c r="Q18" s="7" t="s">
        <v>24</v>
      </c>
      <c r="R18" s="7" t="s">
        <v>33</v>
      </c>
      <c r="S18" s="10">
        <f>F18/G18</f>
      </c>
      <c r="T18" s="7" t="s">
        <v>29</v>
      </c>
    </row>
    <row x14ac:dyDescent="0.25" r="19" customHeight="1" ht="18.75">
      <c r="A19" s="6">
        <v>45762</v>
      </c>
      <c r="B19" s="7" t="s">
        <v>20</v>
      </c>
      <c r="C19" s="7" t="s">
        <v>21</v>
      </c>
      <c r="D19" s="7" t="s">
        <v>41</v>
      </c>
      <c r="E19" s="7" t="s">
        <v>23</v>
      </c>
      <c r="F19" s="8">
        <v>187</v>
      </c>
      <c r="G19" s="8">
        <v>4933</v>
      </c>
      <c r="H19" s="8">
        <v>128</v>
      </c>
      <c r="I19" s="8">
        <v>11</v>
      </c>
      <c r="J19" s="8">
        <v>34</v>
      </c>
      <c r="K19" s="8">
        <v>25</v>
      </c>
      <c r="L19" s="8">
        <v>14</v>
      </c>
      <c r="M19" s="8">
        <v>56</v>
      </c>
      <c r="N19" s="9"/>
      <c r="O19" s="9"/>
      <c r="P19" s="8">
        <v>2</v>
      </c>
      <c r="Q19" s="7" t="s">
        <v>24</v>
      </c>
      <c r="R19" s="7" t="s">
        <v>25</v>
      </c>
      <c r="S19" s="10">
        <f>F19/G19</f>
      </c>
      <c r="T19" s="7" t="s">
        <v>29</v>
      </c>
    </row>
    <row x14ac:dyDescent="0.25" r="20" customHeight="1" ht="18.75">
      <c r="A20" s="6">
        <v>45764</v>
      </c>
      <c r="B20" s="7" t="s">
        <v>20</v>
      </c>
      <c r="C20" s="7" t="s">
        <v>31</v>
      </c>
      <c r="D20" s="7" t="s">
        <v>41</v>
      </c>
      <c r="E20" s="7" t="s">
        <v>23</v>
      </c>
      <c r="F20" s="8">
        <v>131</v>
      </c>
      <c r="G20" s="8">
        <v>3249</v>
      </c>
      <c r="H20" s="8">
        <v>103</v>
      </c>
      <c r="I20" s="8">
        <v>16</v>
      </c>
      <c r="J20" s="8">
        <v>12</v>
      </c>
      <c r="K20" s="8">
        <v>0</v>
      </c>
      <c r="L20" s="8">
        <v>0</v>
      </c>
      <c r="M20" s="8">
        <v>2</v>
      </c>
      <c r="N20" s="8">
        <v>13</v>
      </c>
      <c r="O20" s="8">
        <v>91</v>
      </c>
      <c r="P20" s="8">
        <v>2</v>
      </c>
      <c r="Q20" s="7" t="s">
        <v>24</v>
      </c>
      <c r="R20" s="7" t="s">
        <v>25</v>
      </c>
      <c r="S20" s="10">
        <f>F20/G20</f>
      </c>
      <c r="T20" s="7" t="s">
        <v>29</v>
      </c>
    </row>
    <row x14ac:dyDescent="0.25" r="21" customHeight="1" ht="18.75">
      <c r="A21" s="6">
        <v>45772</v>
      </c>
      <c r="B21" s="7" t="s">
        <v>20</v>
      </c>
      <c r="C21" s="7" t="s">
        <v>21</v>
      </c>
      <c r="D21" s="7" t="s">
        <v>44</v>
      </c>
      <c r="E21" s="7" t="s">
        <v>23</v>
      </c>
      <c r="F21" s="8">
        <v>73</v>
      </c>
      <c r="G21" s="8">
        <v>2096</v>
      </c>
      <c r="H21" s="8">
        <v>62</v>
      </c>
      <c r="I21" s="8">
        <v>4</v>
      </c>
      <c r="J21" s="8">
        <v>5</v>
      </c>
      <c r="K21" s="8">
        <v>4</v>
      </c>
      <c r="L21" s="8">
        <v>2</v>
      </c>
      <c r="M21" s="8">
        <v>25</v>
      </c>
      <c r="N21" s="9"/>
      <c r="O21" s="9"/>
      <c r="P21" s="8">
        <v>2</v>
      </c>
      <c r="Q21" s="7" t="s">
        <v>24</v>
      </c>
      <c r="R21" s="7" t="s">
        <v>33</v>
      </c>
      <c r="S21" s="10">
        <f>F21/G21</f>
      </c>
      <c r="T21" s="7" t="s">
        <v>29</v>
      </c>
    </row>
    <row x14ac:dyDescent="0.25" r="22" customHeight="1" ht="18.75">
      <c r="A22" s="11">
        <v>45776</v>
      </c>
      <c r="B22" s="12" t="s">
        <v>20</v>
      </c>
      <c r="C22" s="12" t="s">
        <v>21</v>
      </c>
      <c r="D22" s="12" t="s">
        <v>43</v>
      </c>
      <c r="E22" s="12" t="s">
        <v>23</v>
      </c>
      <c r="F22" s="13">
        <v>89</v>
      </c>
      <c r="G22" s="13">
        <v>109581</v>
      </c>
      <c r="H22" s="13">
        <v>48</v>
      </c>
      <c r="I22" s="13">
        <v>12</v>
      </c>
      <c r="J22" s="13">
        <v>28</v>
      </c>
      <c r="K22" s="13">
        <v>268</v>
      </c>
      <c r="L22" s="13">
        <v>1</v>
      </c>
      <c r="M22" s="13">
        <v>91</v>
      </c>
      <c r="N22" s="14"/>
      <c r="O22" s="14"/>
      <c r="P22" s="13">
        <v>1</v>
      </c>
      <c r="Q22" s="12" t="s">
        <v>45</v>
      </c>
      <c r="R22" s="12" t="s">
        <v>28</v>
      </c>
      <c r="S22" s="10">
        <f>F22/G22</f>
      </c>
      <c r="T22" s="7" t="s">
        <v>29</v>
      </c>
    </row>
    <row x14ac:dyDescent="0.25" r="23" customHeight="1" ht="18.75">
      <c r="A23" s="6">
        <v>45777</v>
      </c>
      <c r="B23" s="7" t="s">
        <v>20</v>
      </c>
      <c r="C23" s="7" t="s">
        <v>21</v>
      </c>
      <c r="D23" s="7" t="s">
        <v>44</v>
      </c>
      <c r="E23" s="7" t="s">
        <v>23</v>
      </c>
      <c r="F23" s="8">
        <v>84</v>
      </c>
      <c r="G23" s="8">
        <v>2787</v>
      </c>
      <c r="H23" s="8">
        <v>71</v>
      </c>
      <c r="I23" s="8">
        <v>5</v>
      </c>
      <c r="J23" s="8">
        <v>4</v>
      </c>
      <c r="K23" s="8">
        <v>1</v>
      </c>
      <c r="L23" s="8">
        <v>4</v>
      </c>
      <c r="M23" s="8">
        <v>12</v>
      </c>
      <c r="N23" s="9"/>
      <c r="O23" s="9"/>
      <c r="P23" s="8">
        <v>0</v>
      </c>
      <c r="Q23" s="7" t="s">
        <v>24</v>
      </c>
      <c r="R23" s="7" t="s">
        <v>28</v>
      </c>
      <c r="S23" s="10">
        <f>F23/G23</f>
      </c>
      <c r="T23" s="7" t="s">
        <v>29</v>
      </c>
    </row>
    <row x14ac:dyDescent="0.25" r="24" customHeight="1" ht="18.75">
      <c r="A24" s="6">
        <v>45784</v>
      </c>
      <c r="B24" s="7" t="s">
        <v>20</v>
      </c>
      <c r="C24" s="7" t="s">
        <v>21</v>
      </c>
      <c r="D24" s="7" t="s">
        <v>40</v>
      </c>
      <c r="E24" s="7" t="s">
        <v>23</v>
      </c>
      <c r="F24" s="8">
        <v>133</v>
      </c>
      <c r="G24" s="8">
        <v>4391</v>
      </c>
      <c r="H24" s="8">
        <v>111</v>
      </c>
      <c r="I24" s="8">
        <v>6</v>
      </c>
      <c r="J24" s="8">
        <v>14</v>
      </c>
      <c r="K24" s="8">
        <v>2</v>
      </c>
      <c r="L24" s="8">
        <v>2</v>
      </c>
      <c r="M24" s="8">
        <v>61</v>
      </c>
      <c r="N24" s="9"/>
      <c r="O24" s="9"/>
      <c r="P24" s="8">
        <v>5</v>
      </c>
      <c r="Q24" s="7" t="s">
        <v>24</v>
      </c>
      <c r="R24" s="7" t="s">
        <v>28</v>
      </c>
      <c r="S24" s="10">
        <f>F24/G24</f>
      </c>
      <c r="T24" s="7" t="s">
        <v>29</v>
      </c>
    </row>
    <row x14ac:dyDescent="0.25" r="25" customHeight="1" ht="18.75">
      <c r="A25" s="6">
        <v>45786</v>
      </c>
      <c r="B25" s="7" t="s">
        <v>20</v>
      </c>
      <c r="C25" s="7" t="s">
        <v>21</v>
      </c>
      <c r="D25" s="7" t="s">
        <v>46</v>
      </c>
      <c r="E25" s="7" t="s">
        <v>23</v>
      </c>
      <c r="F25" s="8">
        <v>210</v>
      </c>
      <c r="G25" s="8">
        <v>3049</v>
      </c>
      <c r="H25" s="8">
        <v>128</v>
      </c>
      <c r="I25" s="8">
        <v>3</v>
      </c>
      <c r="J25" s="8">
        <v>14</v>
      </c>
      <c r="K25" s="8">
        <v>5</v>
      </c>
      <c r="L25" s="8">
        <v>65</v>
      </c>
      <c r="M25" s="8">
        <v>17</v>
      </c>
      <c r="N25" s="9"/>
      <c r="O25" s="9"/>
      <c r="P25" s="8">
        <v>1</v>
      </c>
      <c r="Q25" s="7" t="s">
        <v>24</v>
      </c>
      <c r="R25" s="7" t="s">
        <v>25</v>
      </c>
      <c r="S25" s="10">
        <f>F25/G25</f>
      </c>
      <c r="T25" s="7" t="s">
        <v>29</v>
      </c>
    </row>
    <row x14ac:dyDescent="0.25" r="26" customHeight="1" ht="18.75">
      <c r="A26" s="15">
        <v>45791</v>
      </c>
      <c r="B26" s="16" t="s">
        <v>20</v>
      </c>
      <c r="C26" s="16" t="s">
        <v>21</v>
      </c>
      <c r="D26" s="16" t="s">
        <v>47</v>
      </c>
      <c r="E26" s="16" t="s">
        <v>23</v>
      </c>
      <c r="F26" s="17" t="s">
        <v>48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6" t="s">
        <v>24</v>
      </c>
      <c r="R26" s="16" t="s">
        <v>40</v>
      </c>
      <c r="S26" s="8">
        <v>1</v>
      </c>
      <c r="T26" s="7" t="s">
        <v>29</v>
      </c>
    </row>
    <row x14ac:dyDescent="0.25" r="27" customHeight="1" ht="18.75">
      <c r="A27" s="6">
        <v>45794</v>
      </c>
      <c r="B27" s="7" t="s">
        <v>20</v>
      </c>
      <c r="C27" s="7" t="s">
        <v>21</v>
      </c>
      <c r="D27" s="7" t="s">
        <v>34</v>
      </c>
      <c r="E27" s="7" t="s">
        <v>23</v>
      </c>
      <c r="F27" s="8">
        <v>66</v>
      </c>
      <c r="G27" s="8">
        <v>4598</v>
      </c>
      <c r="H27" s="8">
        <v>52</v>
      </c>
      <c r="I27" s="8">
        <v>6</v>
      </c>
      <c r="J27" s="8">
        <v>4</v>
      </c>
      <c r="K27" s="8">
        <v>0</v>
      </c>
      <c r="L27" s="8">
        <v>4</v>
      </c>
      <c r="M27" s="8">
        <v>9</v>
      </c>
      <c r="N27" s="9"/>
      <c r="O27" s="9"/>
      <c r="P27" s="8">
        <v>0</v>
      </c>
      <c r="Q27" s="7" t="s">
        <v>24</v>
      </c>
      <c r="R27" s="7" t="s">
        <v>40</v>
      </c>
      <c r="S27" s="10">
        <f>F27/G27</f>
      </c>
      <c r="T27" s="7" t="s">
        <v>29</v>
      </c>
    </row>
    <row x14ac:dyDescent="0.25" r="28" customHeight="1" ht="18.75">
      <c r="A28" s="6">
        <v>45799</v>
      </c>
      <c r="B28" s="7" t="s">
        <v>20</v>
      </c>
      <c r="C28" s="7" t="s">
        <v>21</v>
      </c>
      <c r="D28" s="7" t="s">
        <v>22</v>
      </c>
      <c r="E28" s="7" t="s">
        <v>23</v>
      </c>
      <c r="F28" s="8">
        <v>274</v>
      </c>
      <c r="G28" s="8">
        <v>9759</v>
      </c>
      <c r="H28" s="8">
        <v>163</v>
      </c>
      <c r="I28" s="8">
        <v>11</v>
      </c>
      <c r="J28" s="8">
        <v>67</v>
      </c>
      <c r="K28" s="8">
        <v>95</v>
      </c>
      <c r="L28" s="8">
        <v>33</v>
      </c>
      <c r="M28" s="8">
        <v>187</v>
      </c>
      <c r="N28" s="9"/>
      <c r="O28" s="9"/>
      <c r="P28" s="8">
        <v>22</v>
      </c>
      <c r="Q28" s="7" t="s">
        <v>24</v>
      </c>
      <c r="R28" s="7" t="s">
        <v>25</v>
      </c>
      <c r="S28" s="10">
        <f>F28/G28</f>
      </c>
      <c r="T28" s="7" t="s">
        <v>29</v>
      </c>
    </row>
    <row x14ac:dyDescent="0.25" r="29" customHeight="1" ht="18.75">
      <c r="A29" s="6">
        <v>45805</v>
      </c>
      <c r="B29" s="7" t="s">
        <v>20</v>
      </c>
      <c r="C29" s="7" t="s">
        <v>21</v>
      </c>
      <c r="D29" s="7" t="s">
        <v>34</v>
      </c>
      <c r="E29" s="7" t="s">
        <v>23</v>
      </c>
      <c r="F29" s="8">
        <v>70</v>
      </c>
      <c r="G29" s="8">
        <v>3248</v>
      </c>
      <c r="H29" s="8">
        <v>59</v>
      </c>
      <c r="I29" s="8">
        <v>4</v>
      </c>
      <c r="J29" s="8">
        <v>5</v>
      </c>
      <c r="K29" s="8">
        <v>10</v>
      </c>
      <c r="L29" s="8">
        <v>2</v>
      </c>
      <c r="M29" s="8">
        <v>28</v>
      </c>
      <c r="N29" s="9"/>
      <c r="O29" s="9"/>
      <c r="P29" s="8">
        <v>1</v>
      </c>
      <c r="Q29" s="7" t="s">
        <v>24</v>
      </c>
      <c r="R29" s="7" t="s">
        <v>25</v>
      </c>
      <c r="S29" s="10">
        <f>F29/G29</f>
      </c>
      <c r="T29" s="7" t="s">
        <v>29</v>
      </c>
    </row>
    <row x14ac:dyDescent="0.25" r="30" customHeight="1" ht="18.75">
      <c r="A30" s="6">
        <v>45807</v>
      </c>
      <c r="B30" s="7" t="s">
        <v>20</v>
      </c>
      <c r="C30" s="7" t="s">
        <v>31</v>
      </c>
      <c r="D30" s="7" t="s">
        <v>49</v>
      </c>
      <c r="E30" s="7" t="s">
        <v>23</v>
      </c>
      <c r="F30" s="8">
        <v>113</v>
      </c>
      <c r="G30" s="8">
        <v>2591</v>
      </c>
      <c r="H30" s="8">
        <v>97</v>
      </c>
      <c r="I30" s="8">
        <v>8</v>
      </c>
      <c r="J30" s="8">
        <v>7</v>
      </c>
      <c r="K30" s="8">
        <v>0</v>
      </c>
      <c r="L30" s="8">
        <v>1</v>
      </c>
      <c r="M30" s="8">
        <v>1</v>
      </c>
      <c r="N30" s="8">
        <v>13</v>
      </c>
      <c r="O30" s="8">
        <v>65</v>
      </c>
      <c r="P30" s="8">
        <v>1</v>
      </c>
      <c r="Q30" s="7" t="s">
        <v>24</v>
      </c>
      <c r="R30" s="7" t="s">
        <v>33</v>
      </c>
      <c r="S30" s="10">
        <f>F30/G30</f>
      </c>
      <c r="T30" s="7" t="s">
        <v>29</v>
      </c>
    </row>
    <row x14ac:dyDescent="0.25" r="31" customHeight="1" ht="18.75">
      <c r="A31" s="11">
        <v>45819</v>
      </c>
      <c r="B31" s="12" t="s">
        <v>20</v>
      </c>
      <c r="C31" s="12" t="s">
        <v>21</v>
      </c>
      <c r="D31" s="12" t="s">
        <v>47</v>
      </c>
      <c r="E31" s="12" t="s">
        <v>23</v>
      </c>
      <c r="F31" s="13">
        <v>724</v>
      </c>
      <c r="G31" s="13">
        <v>79394</v>
      </c>
      <c r="H31" s="13">
        <v>482</v>
      </c>
      <c r="I31" s="13">
        <v>24</v>
      </c>
      <c r="J31" s="13">
        <v>27</v>
      </c>
      <c r="K31" s="13">
        <v>349</v>
      </c>
      <c r="L31" s="13">
        <v>191</v>
      </c>
      <c r="M31" s="13">
        <v>2239</v>
      </c>
      <c r="N31" s="14"/>
      <c r="O31" s="14"/>
      <c r="P31" s="13">
        <v>317</v>
      </c>
      <c r="Q31" s="12" t="s">
        <v>45</v>
      </c>
      <c r="R31" s="12" t="s">
        <v>40</v>
      </c>
      <c r="S31" s="10">
        <f>F31/G31</f>
      </c>
      <c r="T31" s="7" t="s">
        <v>29</v>
      </c>
    </row>
    <row x14ac:dyDescent="0.25" r="32" customHeight="1" ht="18.75">
      <c r="A32" s="6">
        <v>45845</v>
      </c>
      <c r="B32" s="7" t="s">
        <v>20</v>
      </c>
      <c r="C32" s="7" t="s">
        <v>21</v>
      </c>
      <c r="D32" s="7" t="s">
        <v>46</v>
      </c>
      <c r="E32" s="7" t="s">
        <v>23</v>
      </c>
      <c r="F32" s="8">
        <v>171</v>
      </c>
      <c r="G32" s="8">
        <v>3207</v>
      </c>
      <c r="H32" s="8">
        <v>103</v>
      </c>
      <c r="I32" s="8">
        <v>5</v>
      </c>
      <c r="J32" s="8">
        <v>10</v>
      </c>
      <c r="K32" s="8">
        <v>1</v>
      </c>
      <c r="L32" s="8">
        <v>53</v>
      </c>
      <c r="M32" s="8">
        <v>11</v>
      </c>
      <c r="N32" s="9"/>
      <c r="O32" s="9"/>
      <c r="P32" s="8">
        <v>1</v>
      </c>
      <c r="Q32" s="7" t="s">
        <v>24</v>
      </c>
      <c r="R32" s="7" t="s">
        <v>25</v>
      </c>
      <c r="S32" s="10">
        <f>F32/G32</f>
      </c>
      <c r="T32" s="7" t="s">
        <v>29</v>
      </c>
    </row>
    <row x14ac:dyDescent="0.25" r="33" customHeight="1" ht="18.75">
      <c r="A33" s="6">
        <v>45847</v>
      </c>
      <c r="B33" s="7" t="s">
        <v>20</v>
      </c>
      <c r="C33" s="7" t="s">
        <v>21</v>
      </c>
      <c r="D33" s="7" t="s">
        <v>44</v>
      </c>
      <c r="E33" s="7" t="s">
        <v>23</v>
      </c>
      <c r="F33" s="8">
        <v>81</v>
      </c>
      <c r="G33" s="8">
        <v>3341</v>
      </c>
      <c r="H33" s="8">
        <v>71</v>
      </c>
      <c r="I33" s="8">
        <v>6</v>
      </c>
      <c r="J33" s="8">
        <v>2</v>
      </c>
      <c r="K33" s="8">
        <v>0</v>
      </c>
      <c r="L33" s="8">
        <v>2</v>
      </c>
      <c r="M33" s="8">
        <v>14</v>
      </c>
      <c r="N33" s="9"/>
      <c r="O33" s="9"/>
      <c r="P33" s="8">
        <v>0</v>
      </c>
      <c r="Q33" s="7" t="s">
        <v>24</v>
      </c>
      <c r="R33" s="7" t="s">
        <v>28</v>
      </c>
      <c r="S33" s="10">
        <f>F33/G33</f>
      </c>
      <c r="T33" s="7" t="s">
        <v>29</v>
      </c>
    </row>
    <row x14ac:dyDescent="0.25" r="34" customHeight="1" ht="18.75">
      <c r="A34" s="6">
        <v>45849</v>
      </c>
      <c r="B34" s="7" t="s">
        <v>20</v>
      </c>
      <c r="C34" s="7" t="s">
        <v>21</v>
      </c>
      <c r="D34" s="7" t="s">
        <v>44</v>
      </c>
      <c r="E34" s="7" t="s">
        <v>23</v>
      </c>
      <c r="F34" s="8">
        <v>102</v>
      </c>
      <c r="G34" s="8">
        <v>3487</v>
      </c>
      <c r="H34" s="8">
        <v>82</v>
      </c>
      <c r="I34" s="8">
        <v>9</v>
      </c>
      <c r="J34" s="8">
        <v>3</v>
      </c>
      <c r="K34" s="8">
        <v>6</v>
      </c>
      <c r="L34" s="8">
        <v>8</v>
      </c>
      <c r="M34" s="8">
        <v>23</v>
      </c>
      <c r="N34" s="9"/>
      <c r="O34" s="9"/>
      <c r="P34" s="8">
        <v>0</v>
      </c>
      <c r="Q34" s="7" t="s">
        <v>24</v>
      </c>
      <c r="R34" s="7" t="s">
        <v>50</v>
      </c>
      <c r="S34" s="10">
        <f>F34/G34</f>
      </c>
      <c r="T34" s="7" t="s">
        <v>29</v>
      </c>
    </row>
    <row x14ac:dyDescent="0.25" r="35" customHeight="1" ht="18.75">
      <c r="A35" s="6">
        <v>45859</v>
      </c>
      <c r="B35" s="7" t="s">
        <v>20</v>
      </c>
      <c r="C35" s="7" t="s">
        <v>31</v>
      </c>
      <c r="D35" s="7" t="s">
        <v>51</v>
      </c>
      <c r="E35" s="7" t="s">
        <v>23</v>
      </c>
      <c r="F35" s="8">
        <v>144</v>
      </c>
      <c r="G35" s="8">
        <v>3737</v>
      </c>
      <c r="H35" s="8">
        <v>107</v>
      </c>
      <c r="I35" s="8">
        <v>22</v>
      </c>
      <c r="J35" s="8">
        <v>14</v>
      </c>
      <c r="K35" s="8">
        <v>0</v>
      </c>
      <c r="L35" s="8">
        <v>1</v>
      </c>
      <c r="M35" s="8">
        <v>2</v>
      </c>
      <c r="N35" s="8">
        <v>10</v>
      </c>
      <c r="O35" s="8">
        <v>52</v>
      </c>
      <c r="P35" s="8">
        <v>2</v>
      </c>
      <c r="Q35" s="7" t="s">
        <v>24</v>
      </c>
      <c r="R35" s="7" t="s">
        <v>52</v>
      </c>
      <c r="S35" s="10">
        <f>F35/G35</f>
      </c>
      <c r="T35" s="7" t="s">
        <v>29</v>
      </c>
    </row>
    <row x14ac:dyDescent="0.25" r="36" customHeight="1" ht="18.75">
      <c r="A36" s="18">
        <v>45866</v>
      </c>
      <c r="B36" s="19" t="s">
        <v>20</v>
      </c>
      <c r="C36" s="19" t="s">
        <v>31</v>
      </c>
      <c r="D36" s="19" t="s">
        <v>44</v>
      </c>
      <c r="E36" s="19" t="s">
        <v>23</v>
      </c>
      <c r="F36" s="20">
        <v>451</v>
      </c>
      <c r="G36" s="20">
        <v>19786</v>
      </c>
      <c r="H36" s="20">
        <v>381</v>
      </c>
      <c r="I36" s="20">
        <v>28</v>
      </c>
      <c r="J36" s="20">
        <v>17</v>
      </c>
      <c r="K36" s="20">
        <v>0</v>
      </c>
      <c r="L36" s="20">
        <v>25</v>
      </c>
      <c r="M36" s="20">
        <v>209</v>
      </c>
      <c r="N36" s="21"/>
      <c r="O36" s="21"/>
      <c r="P36" s="20">
        <v>209</v>
      </c>
      <c r="Q36" s="19" t="s">
        <v>45</v>
      </c>
      <c r="R36" s="19" t="s">
        <v>52</v>
      </c>
      <c r="S36" s="10">
        <f>F36/G36</f>
      </c>
      <c r="T36" s="7" t="s">
        <v>29</v>
      </c>
    </row>
    <row x14ac:dyDescent="0.25" r="37" customHeight="1" ht="18.75">
      <c r="A37" s="6">
        <v>45868</v>
      </c>
      <c r="B37" s="7" t="s">
        <v>20</v>
      </c>
      <c r="C37" s="7" t="s">
        <v>31</v>
      </c>
      <c r="D37" s="7" t="s">
        <v>34</v>
      </c>
      <c r="E37" s="7" t="s">
        <v>23</v>
      </c>
      <c r="F37" s="8">
        <v>84</v>
      </c>
      <c r="G37" s="8">
        <v>1929</v>
      </c>
      <c r="H37" s="8">
        <v>68</v>
      </c>
      <c r="I37" s="8">
        <v>8</v>
      </c>
      <c r="J37" s="8">
        <v>5</v>
      </c>
      <c r="K37" s="8">
        <v>0</v>
      </c>
      <c r="L37" s="8">
        <v>3</v>
      </c>
      <c r="M37" s="8">
        <v>0</v>
      </c>
      <c r="N37" s="8">
        <v>8</v>
      </c>
      <c r="O37" s="8">
        <v>51</v>
      </c>
      <c r="P37" s="8">
        <v>0</v>
      </c>
      <c r="Q37" s="7" t="s">
        <v>24</v>
      </c>
      <c r="R37" s="7" t="s">
        <v>33</v>
      </c>
      <c r="S37" s="10">
        <f>F37/G37</f>
      </c>
      <c r="T37" s="7" t="s">
        <v>29</v>
      </c>
    </row>
    <row x14ac:dyDescent="0.25" r="38" customHeight="1" ht="18.75">
      <c r="A38" s="6">
        <v>45875</v>
      </c>
      <c r="B38" s="7" t="s">
        <v>20</v>
      </c>
      <c r="C38" s="7" t="s">
        <v>21</v>
      </c>
      <c r="D38" s="7" t="s">
        <v>27</v>
      </c>
      <c r="E38" s="7" t="s">
        <v>23</v>
      </c>
      <c r="F38" s="8">
        <v>151</v>
      </c>
      <c r="G38" s="8">
        <v>6719</v>
      </c>
      <c r="H38" s="8">
        <v>97</v>
      </c>
      <c r="I38" s="8">
        <v>40</v>
      </c>
      <c r="J38" s="8">
        <v>10</v>
      </c>
      <c r="K38" s="8">
        <v>2</v>
      </c>
      <c r="L38" s="8">
        <v>4</v>
      </c>
      <c r="M38" s="8">
        <v>43</v>
      </c>
      <c r="N38" s="9"/>
      <c r="O38" s="9"/>
      <c r="P38" s="8">
        <v>0</v>
      </c>
      <c r="Q38" s="7" t="s">
        <v>24</v>
      </c>
      <c r="R38" s="7" t="s">
        <v>28</v>
      </c>
      <c r="S38" s="10">
        <f>F38/G38</f>
      </c>
      <c r="T38" s="7" t="s">
        <v>29</v>
      </c>
    </row>
    <row x14ac:dyDescent="0.25" r="39" customHeight="1" ht="18.75">
      <c r="A39" s="6">
        <v>45877</v>
      </c>
      <c r="B39" s="7" t="s">
        <v>20</v>
      </c>
      <c r="C39" s="7" t="s">
        <v>31</v>
      </c>
      <c r="D39" s="7" t="s">
        <v>27</v>
      </c>
      <c r="E39" s="7" t="s">
        <v>23</v>
      </c>
      <c r="F39" s="8">
        <v>169</v>
      </c>
      <c r="G39" s="8">
        <v>11734</v>
      </c>
      <c r="H39" s="8">
        <v>125</v>
      </c>
      <c r="I39" s="8">
        <v>12</v>
      </c>
      <c r="J39" s="8">
        <v>32</v>
      </c>
      <c r="K39" s="8">
        <v>0</v>
      </c>
      <c r="L39" s="8">
        <v>0</v>
      </c>
      <c r="M39" s="8">
        <v>1</v>
      </c>
      <c r="N39" s="8">
        <v>6</v>
      </c>
      <c r="O39" s="8">
        <v>24</v>
      </c>
      <c r="P39" s="8">
        <v>1</v>
      </c>
      <c r="Q39" s="7" t="s">
        <v>24</v>
      </c>
      <c r="R39" s="7" t="s">
        <v>28</v>
      </c>
      <c r="S39" s="10">
        <f>F39/G39</f>
      </c>
      <c r="T39" s="7" t="s">
        <v>29</v>
      </c>
    </row>
    <row x14ac:dyDescent="0.25" r="40" customHeight="1" ht="18.75">
      <c r="A40" s="6">
        <v>45879</v>
      </c>
      <c r="B40" s="7" t="s">
        <v>20</v>
      </c>
      <c r="C40" s="7" t="s">
        <v>31</v>
      </c>
      <c r="D40" s="7" t="s">
        <v>27</v>
      </c>
      <c r="E40" s="7" t="s">
        <v>23</v>
      </c>
      <c r="F40" s="8">
        <v>63</v>
      </c>
      <c r="G40" s="8">
        <v>3263</v>
      </c>
      <c r="H40" s="8">
        <v>47</v>
      </c>
      <c r="I40" s="8">
        <v>5</v>
      </c>
      <c r="J40" s="8">
        <v>11</v>
      </c>
      <c r="K40" s="8">
        <v>0</v>
      </c>
      <c r="L40" s="8">
        <v>0</v>
      </c>
      <c r="M40" s="8">
        <v>0</v>
      </c>
      <c r="N40" s="8">
        <v>5</v>
      </c>
      <c r="O40" s="8">
        <v>30</v>
      </c>
      <c r="P40" s="8">
        <v>0</v>
      </c>
      <c r="Q40" s="7" t="s">
        <v>24</v>
      </c>
      <c r="R40" s="7" t="s">
        <v>28</v>
      </c>
      <c r="S40" s="10">
        <f>F40/G40</f>
      </c>
      <c r="T40" s="7" t="s">
        <v>29</v>
      </c>
    </row>
    <row x14ac:dyDescent="0.25" r="41" customHeight="1" ht="18.75">
      <c r="A41" s="6">
        <v>45881</v>
      </c>
      <c r="B41" s="7" t="s">
        <v>20</v>
      </c>
      <c r="C41" s="7" t="s">
        <v>31</v>
      </c>
      <c r="D41" s="7" t="s">
        <v>27</v>
      </c>
      <c r="E41" s="7" t="s">
        <v>23</v>
      </c>
      <c r="F41" s="8">
        <v>96</v>
      </c>
      <c r="G41" s="8">
        <v>5372</v>
      </c>
      <c r="H41" s="8">
        <v>75</v>
      </c>
      <c r="I41" s="8">
        <v>13</v>
      </c>
      <c r="J41" s="8">
        <v>8</v>
      </c>
      <c r="K41" s="8">
        <v>0</v>
      </c>
      <c r="L41" s="8">
        <v>0</v>
      </c>
      <c r="M41" s="8">
        <v>0</v>
      </c>
      <c r="N41" s="8">
        <v>4</v>
      </c>
      <c r="O41" s="8">
        <v>8</v>
      </c>
      <c r="P41" s="8">
        <v>0</v>
      </c>
      <c r="Q41" s="7" t="s">
        <v>24</v>
      </c>
      <c r="R41" s="7" t="s">
        <v>28</v>
      </c>
      <c r="S41" s="10">
        <f>F41/G41</f>
      </c>
      <c r="T41" s="7" t="s">
        <v>29</v>
      </c>
    </row>
    <row x14ac:dyDescent="0.25" r="42" customHeight="1" ht="18.75">
      <c r="A42" s="6">
        <v>45887</v>
      </c>
      <c r="B42" s="7" t="s">
        <v>20</v>
      </c>
      <c r="C42" s="7" t="s">
        <v>31</v>
      </c>
      <c r="D42" s="7" t="s">
        <v>44</v>
      </c>
      <c r="E42" s="7" t="s">
        <v>23</v>
      </c>
      <c r="F42" s="8">
        <v>86</v>
      </c>
      <c r="G42" s="8">
        <v>2110</v>
      </c>
      <c r="H42" s="8">
        <v>63</v>
      </c>
      <c r="I42" s="8">
        <v>16</v>
      </c>
      <c r="J42" s="8">
        <v>7</v>
      </c>
      <c r="K42" s="8">
        <v>0</v>
      </c>
      <c r="L42" s="8">
        <v>0</v>
      </c>
      <c r="M42" s="8">
        <v>0</v>
      </c>
      <c r="N42" s="8">
        <v>8</v>
      </c>
      <c r="O42" s="8">
        <v>63</v>
      </c>
      <c r="P42" s="8">
        <v>0</v>
      </c>
      <c r="Q42" s="7" t="s">
        <v>24</v>
      </c>
      <c r="R42" s="7" t="s">
        <v>28</v>
      </c>
      <c r="S42" s="10">
        <f>F42/G42</f>
      </c>
      <c r="T42" s="7" t="s">
        <v>29</v>
      </c>
    </row>
    <row x14ac:dyDescent="0.25" r="43" customHeight="1" ht="18.75">
      <c r="A43" s="6">
        <v>45888</v>
      </c>
      <c r="B43" s="7" t="s">
        <v>20</v>
      </c>
      <c r="C43" s="7" t="s">
        <v>31</v>
      </c>
      <c r="D43" s="7" t="s">
        <v>44</v>
      </c>
      <c r="E43" s="7" t="s">
        <v>23</v>
      </c>
      <c r="F43" s="8">
        <v>56</v>
      </c>
      <c r="G43" s="8">
        <v>1485</v>
      </c>
      <c r="H43" s="8">
        <v>44</v>
      </c>
      <c r="I43" s="8">
        <v>9</v>
      </c>
      <c r="J43" s="8">
        <v>3</v>
      </c>
      <c r="K43" s="8">
        <v>0</v>
      </c>
      <c r="L43" s="8">
        <v>0</v>
      </c>
      <c r="M43" s="8">
        <v>1</v>
      </c>
      <c r="N43" s="8">
        <v>6</v>
      </c>
      <c r="O43" s="8">
        <v>31</v>
      </c>
      <c r="P43" s="8">
        <v>1</v>
      </c>
      <c r="Q43" s="7" t="s">
        <v>24</v>
      </c>
      <c r="R43" s="7" t="s">
        <v>28</v>
      </c>
      <c r="S43" s="10">
        <f>F43/G43</f>
      </c>
      <c r="T43" s="7" t="s">
        <v>29</v>
      </c>
    </row>
    <row x14ac:dyDescent="0.25" r="44" customHeight="1" ht="18.75">
      <c r="A44" s="6">
        <v>45889</v>
      </c>
      <c r="B44" s="7" t="s">
        <v>20</v>
      </c>
      <c r="C44" s="7" t="s">
        <v>31</v>
      </c>
      <c r="D44" s="7" t="s">
        <v>44</v>
      </c>
      <c r="E44" s="7" t="s">
        <v>23</v>
      </c>
      <c r="F44" s="8">
        <v>103</v>
      </c>
      <c r="G44" s="8">
        <v>3252</v>
      </c>
      <c r="H44" s="8">
        <v>80</v>
      </c>
      <c r="I44" s="8">
        <v>14</v>
      </c>
      <c r="J44" s="8">
        <v>8</v>
      </c>
      <c r="K44" s="8">
        <v>0</v>
      </c>
      <c r="L44" s="8">
        <v>1</v>
      </c>
      <c r="M44" s="8">
        <v>0</v>
      </c>
      <c r="N44" s="8">
        <v>9</v>
      </c>
      <c r="O44" s="8">
        <v>54</v>
      </c>
      <c r="P44" s="8">
        <v>0</v>
      </c>
      <c r="Q44" s="7" t="s">
        <v>24</v>
      </c>
      <c r="R44" s="7" t="s">
        <v>28</v>
      </c>
      <c r="S44" s="10">
        <f>F44/G44</f>
      </c>
      <c r="T44" s="7" t="s">
        <v>29</v>
      </c>
    </row>
    <row x14ac:dyDescent="0.25" r="45" customHeight="1" ht="18.75">
      <c r="A45" s="6">
        <v>45891</v>
      </c>
      <c r="B45" s="7" t="s">
        <v>20</v>
      </c>
      <c r="C45" s="7" t="s">
        <v>31</v>
      </c>
      <c r="D45" s="7" t="s">
        <v>44</v>
      </c>
      <c r="E45" s="7" t="s">
        <v>23</v>
      </c>
      <c r="F45" s="8">
        <v>76</v>
      </c>
      <c r="G45" s="8">
        <v>1642</v>
      </c>
      <c r="H45" s="8">
        <v>57</v>
      </c>
      <c r="I45" s="8">
        <v>12</v>
      </c>
      <c r="J45" s="8">
        <v>6</v>
      </c>
      <c r="K45" s="8">
        <v>0</v>
      </c>
      <c r="L45" s="8">
        <v>1</v>
      </c>
      <c r="M45" s="8">
        <v>0</v>
      </c>
      <c r="N45" s="8">
        <v>6</v>
      </c>
      <c r="O45" s="8">
        <v>30</v>
      </c>
      <c r="P45" s="8">
        <v>0</v>
      </c>
      <c r="Q45" s="7" t="s">
        <v>24</v>
      </c>
      <c r="R45" s="7" t="s">
        <v>28</v>
      </c>
      <c r="S45" s="10">
        <f>F45/G45</f>
      </c>
      <c r="T45" s="7" t="s">
        <v>29</v>
      </c>
    </row>
    <row x14ac:dyDescent="0.25" r="46" customHeight="1" ht="18.75">
      <c r="A46" s="22">
        <v>45891</v>
      </c>
      <c r="B46" s="23" t="s">
        <v>20</v>
      </c>
      <c r="C46" s="23" t="s">
        <v>31</v>
      </c>
      <c r="D46" s="23" t="s">
        <v>53</v>
      </c>
      <c r="E46" s="23" t="s">
        <v>23</v>
      </c>
      <c r="F46" s="24">
        <v>433</v>
      </c>
      <c r="G46" s="24">
        <v>3718</v>
      </c>
      <c r="H46" s="24">
        <v>225</v>
      </c>
      <c r="I46" s="24">
        <v>192</v>
      </c>
      <c r="J46" s="24">
        <v>12</v>
      </c>
      <c r="K46" s="24">
        <v>0</v>
      </c>
      <c r="L46" s="24">
        <v>4</v>
      </c>
      <c r="M46" s="24">
        <v>3</v>
      </c>
      <c r="N46" s="24">
        <v>7</v>
      </c>
      <c r="O46" s="24">
        <v>26</v>
      </c>
      <c r="P46" s="24">
        <v>3</v>
      </c>
      <c r="Q46" s="23" t="s">
        <v>24</v>
      </c>
      <c r="R46" s="23" t="s">
        <v>28</v>
      </c>
      <c r="S46" s="10">
        <f>F46/G46</f>
      </c>
      <c r="T46" s="7" t="s">
        <v>29</v>
      </c>
    </row>
    <row x14ac:dyDescent="0.25" r="47" customHeight="1" ht="18.75">
      <c r="A47" s="6">
        <v>45893</v>
      </c>
      <c r="B47" s="7" t="s">
        <v>20</v>
      </c>
      <c r="C47" s="7" t="s">
        <v>31</v>
      </c>
      <c r="D47" s="7" t="s">
        <v>44</v>
      </c>
      <c r="E47" s="7" t="s">
        <v>23</v>
      </c>
      <c r="F47" s="8">
        <v>85</v>
      </c>
      <c r="G47" s="8">
        <v>1884</v>
      </c>
      <c r="H47" s="8">
        <v>57</v>
      </c>
      <c r="I47" s="8">
        <v>10</v>
      </c>
      <c r="J47" s="8">
        <v>17</v>
      </c>
      <c r="K47" s="8">
        <v>0</v>
      </c>
      <c r="L47" s="8">
        <v>1</v>
      </c>
      <c r="M47" s="8">
        <v>1</v>
      </c>
      <c r="N47" s="8">
        <v>7</v>
      </c>
      <c r="O47" s="8">
        <v>57</v>
      </c>
      <c r="P47" s="8">
        <v>1</v>
      </c>
      <c r="Q47" s="7" t="s">
        <v>24</v>
      </c>
      <c r="R47" s="7" t="s">
        <v>28</v>
      </c>
      <c r="S47" s="10">
        <f>F47/G47</f>
      </c>
      <c r="T47" s="7" t="s">
        <v>29</v>
      </c>
    </row>
    <row x14ac:dyDescent="0.25" r="48" customHeight="1" ht="18.75">
      <c r="A48" s="6">
        <v>45899</v>
      </c>
      <c r="B48" s="7" t="s">
        <v>20</v>
      </c>
      <c r="C48" s="7" t="s">
        <v>21</v>
      </c>
      <c r="D48" s="7" t="s">
        <v>35</v>
      </c>
      <c r="E48" s="7" t="s">
        <v>23</v>
      </c>
      <c r="F48" s="8">
        <v>64</v>
      </c>
      <c r="G48" s="8">
        <v>6312</v>
      </c>
      <c r="H48" s="8">
        <v>48</v>
      </c>
      <c r="I48" s="8">
        <v>8</v>
      </c>
      <c r="J48" s="8">
        <v>3</v>
      </c>
      <c r="K48" s="8">
        <v>4</v>
      </c>
      <c r="L48" s="8">
        <v>5</v>
      </c>
      <c r="M48" s="8">
        <v>18</v>
      </c>
      <c r="N48" s="9"/>
      <c r="O48" s="9"/>
      <c r="P48" s="8">
        <v>0</v>
      </c>
      <c r="Q48" s="7" t="s">
        <v>24</v>
      </c>
      <c r="R48" s="7" t="s">
        <v>28</v>
      </c>
      <c r="S48" s="10">
        <f>F48/G48</f>
      </c>
      <c r="T48" s="7" t="s">
        <v>29</v>
      </c>
    </row>
    <row x14ac:dyDescent="0.25" r="49" customHeight="1" ht="18.75">
      <c r="A49" s="6">
        <v>45911</v>
      </c>
      <c r="B49" s="7" t="s">
        <v>20</v>
      </c>
      <c r="C49" s="7" t="s">
        <v>21</v>
      </c>
      <c r="D49" s="7" t="s">
        <v>39</v>
      </c>
      <c r="E49" s="7" t="s">
        <v>23</v>
      </c>
      <c r="F49" s="8">
        <v>204</v>
      </c>
      <c r="G49" s="8">
        <v>7404</v>
      </c>
      <c r="H49" s="8">
        <v>161</v>
      </c>
      <c r="I49" s="8">
        <v>18</v>
      </c>
      <c r="J49" s="8">
        <v>24</v>
      </c>
      <c r="K49" s="8">
        <v>2</v>
      </c>
      <c r="L49" s="8">
        <v>1</v>
      </c>
      <c r="M49" s="8">
        <v>55</v>
      </c>
      <c r="N49" s="9"/>
      <c r="O49" s="9"/>
      <c r="P49" s="8">
        <v>1</v>
      </c>
      <c r="Q49" s="7" t="s">
        <v>24</v>
      </c>
      <c r="R49" s="7" t="s">
        <v>28</v>
      </c>
      <c r="S49" s="10">
        <f>F49/G49</f>
      </c>
      <c r="T49" s="7" t="s">
        <v>29</v>
      </c>
    </row>
    <row x14ac:dyDescent="0.25" r="50" customHeight="1" ht="18.75">
      <c r="A50" s="6">
        <v>45922</v>
      </c>
      <c r="B50" s="7" t="s">
        <v>20</v>
      </c>
      <c r="C50" s="7" t="s">
        <v>31</v>
      </c>
      <c r="D50" s="7" t="s">
        <v>36</v>
      </c>
      <c r="E50" s="7" t="s">
        <v>23</v>
      </c>
      <c r="F50" s="8">
        <v>131</v>
      </c>
      <c r="G50" s="8">
        <v>3121</v>
      </c>
      <c r="H50" s="8">
        <v>100</v>
      </c>
      <c r="I50" s="8">
        <v>25</v>
      </c>
      <c r="J50" s="8">
        <v>5</v>
      </c>
      <c r="K50" s="8">
        <v>0</v>
      </c>
      <c r="L50" s="8">
        <v>1</v>
      </c>
      <c r="M50" s="8">
        <v>2</v>
      </c>
      <c r="N50" s="8">
        <v>7</v>
      </c>
      <c r="O50" s="8">
        <v>45</v>
      </c>
      <c r="P50" s="8">
        <v>2</v>
      </c>
      <c r="Q50" s="7" t="s">
        <v>24</v>
      </c>
      <c r="R50" s="7" t="s">
        <v>28</v>
      </c>
      <c r="S50" s="10">
        <f>F50/G50</f>
      </c>
      <c r="T50" s="7" t="s">
        <v>29</v>
      </c>
    </row>
    <row x14ac:dyDescent="0.25" r="51" customHeight="1" ht="18.75">
      <c r="A51" s="6">
        <v>45924</v>
      </c>
      <c r="B51" s="7" t="s">
        <v>20</v>
      </c>
      <c r="C51" s="7" t="s">
        <v>21</v>
      </c>
      <c r="D51" s="7" t="s">
        <v>44</v>
      </c>
      <c r="E51" s="7" t="s">
        <v>23</v>
      </c>
      <c r="F51" s="8">
        <v>91</v>
      </c>
      <c r="G51" s="8">
        <v>2404</v>
      </c>
      <c r="H51" s="8">
        <v>80</v>
      </c>
      <c r="I51" s="8">
        <v>7</v>
      </c>
      <c r="J51" s="8">
        <v>2</v>
      </c>
      <c r="K51" s="8">
        <v>3</v>
      </c>
      <c r="L51" s="8">
        <v>2</v>
      </c>
      <c r="M51" s="8">
        <v>13</v>
      </c>
      <c r="N51" s="9"/>
      <c r="O51" s="9"/>
      <c r="P51" s="8">
        <v>0</v>
      </c>
      <c r="Q51" s="7" t="s">
        <v>24</v>
      </c>
      <c r="R51" s="7" t="s">
        <v>28</v>
      </c>
      <c r="S51" s="10">
        <f>F51/G51</f>
      </c>
      <c r="T51" s="7" t="s">
        <v>29</v>
      </c>
    </row>
    <row x14ac:dyDescent="0.25" r="52" customHeight="1" ht="18.75">
      <c r="A52" s="6">
        <v>45926</v>
      </c>
      <c r="B52" s="7" t="s">
        <v>20</v>
      </c>
      <c r="C52" s="7" t="s">
        <v>21</v>
      </c>
      <c r="D52" s="7" t="s">
        <v>44</v>
      </c>
      <c r="E52" s="7" t="s">
        <v>23</v>
      </c>
      <c r="F52" s="8">
        <v>68</v>
      </c>
      <c r="G52" s="8">
        <v>2506</v>
      </c>
      <c r="H52" s="8">
        <v>58</v>
      </c>
      <c r="I52" s="8">
        <v>2</v>
      </c>
      <c r="J52" s="8">
        <v>8</v>
      </c>
      <c r="K52" s="8">
        <v>0</v>
      </c>
      <c r="L52" s="8">
        <v>0</v>
      </c>
      <c r="M52" s="8">
        <v>19</v>
      </c>
      <c r="N52" s="9"/>
      <c r="O52" s="9"/>
      <c r="P52" s="8">
        <v>2</v>
      </c>
      <c r="Q52" s="7" t="s">
        <v>24</v>
      </c>
      <c r="R52" s="7" t="s">
        <v>28</v>
      </c>
      <c r="S52" s="10">
        <f>F52/G52</f>
      </c>
      <c r="T52" s="7" t="s">
        <v>29</v>
      </c>
    </row>
    <row x14ac:dyDescent="0.25" r="53" customHeight="1" ht="18.75">
      <c r="A53" s="6">
        <v>45929</v>
      </c>
      <c r="B53" s="7" t="s">
        <v>20</v>
      </c>
      <c r="C53" s="7" t="s">
        <v>21</v>
      </c>
      <c r="D53" s="7" t="s">
        <v>44</v>
      </c>
      <c r="E53" s="7" t="s">
        <v>23</v>
      </c>
      <c r="F53" s="8">
        <v>105</v>
      </c>
      <c r="G53" s="8">
        <v>5450</v>
      </c>
      <c r="H53" s="8">
        <v>71</v>
      </c>
      <c r="I53" s="8">
        <v>16</v>
      </c>
      <c r="J53" s="8">
        <v>15</v>
      </c>
      <c r="K53" s="8">
        <v>9</v>
      </c>
      <c r="L53" s="8">
        <v>3</v>
      </c>
      <c r="M53" s="8">
        <v>24</v>
      </c>
      <c r="N53" s="9"/>
      <c r="O53" s="9"/>
      <c r="P53" s="8">
        <v>2</v>
      </c>
      <c r="Q53" s="7" t="s">
        <v>24</v>
      </c>
      <c r="R53" s="7" t="s">
        <v>28</v>
      </c>
      <c r="S53" s="10">
        <f>F53/G53</f>
      </c>
      <c r="T53" s="7" t="s">
        <v>29</v>
      </c>
    </row>
    <row x14ac:dyDescent="0.25" r="54" customHeight="1" ht="18.75">
      <c r="A54" s="6">
        <v>45934</v>
      </c>
      <c r="B54" s="7" t="s">
        <v>20</v>
      </c>
      <c r="C54" s="7" t="s">
        <v>21</v>
      </c>
      <c r="D54" s="7" t="s">
        <v>44</v>
      </c>
      <c r="E54" s="7" t="s">
        <v>23</v>
      </c>
      <c r="F54" s="8">
        <v>55</v>
      </c>
      <c r="G54" s="8">
        <v>925</v>
      </c>
      <c r="H54" s="8">
        <v>48</v>
      </c>
      <c r="I54" s="8">
        <v>4</v>
      </c>
      <c r="J54" s="8">
        <v>3</v>
      </c>
      <c r="K54" s="8">
        <v>0</v>
      </c>
      <c r="L54" s="8">
        <v>0</v>
      </c>
      <c r="M54" s="8">
        <v>5</v>
      </c>
      <c r="N54" s="9"/>
      <c r="O54" s="9"/>
      <c r="P54" s="8">
        <v>0</v>
      </c>
      <c r="Q54" s="7" t="s">
        <v>24</v>
      </c>
      <c r="R54" s="7" t="s">
        <v>28</v>
      </c>
      <c r="S54" s="10">
        <f>F54/G54</f>
      </c>
      <c r="T54" s="7" t="s">
        <v>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2025-10-08T14:38:55.385Z</dcterms:created>
  <dcterms:modified xsi:type="dcterms:W3CDTF">2025-10-08T14:38:55.385Z</dcterms:modified>
</cp:coreProperties>
</file>